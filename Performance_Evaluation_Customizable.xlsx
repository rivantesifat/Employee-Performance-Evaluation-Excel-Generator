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_Instructions" sheetId="1" state="visible" r:id="rId1"/>
    <sheet name="QC_Team_Evaluation" sheetId="2" state="visible" r:id="rId2"/>
    <sheet name="Production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color rgb="00C65911"/>
      <sz val="10"/>
    </font>
    <font>
      <b val="1"/>
      <color rgb="00203864"/>
      <sz val="11"/>
    </font>
    <font>
      <b val="1"/>
      <color rgb="00FFFFFF"/>
      <sz val="11"/>
    </font>
    <font>
      <b val="1"/>
      <color rgb="00C65911"/>
      <sz val="11"/>
    </font>
    <font>
      <b val="1"/>
      <color rgb="00000000"/>
      <sz val="12"/>
    </font>
    <font>
      <b val="1"/>
      <sz val="10"/>
    </font>
    <font>
      <b val="1"/>
      <sz val="12"/>
    </font>
    <font>
      <b val="1"/>
      <color rgb="00FFFFFF"/>
      <sz val="16"/>
    </font>
    <font>
      <b val="1"/>
      <color rgb="00366092"/>
      <sz val="12"/>
    </font>
    <font>
      <b val="1"/>
      <color rgb="00203864"/>
      <sz val="12"/>
    </font>
  </fonts>
  <fills count="9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11" fillId="8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2" fontId="7" fillId="7" borderId="1" pivotButton="0" quotePrefix="0" xfId="0"/>
    <xf numFmtId="0" fontId="7" fillId="7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</cols>
  <sheetData>
    <row r="1">
      <c r="A1" s="1" t="inlineStr">
        <is>
          <t>EMPLOYEE PERFORMANCE EVALUATION SYSTEM</t>
        </is>
      </c>
    </row>
    <row r="2">
      <c r="A2" s="2" t="inlineStr">
        <is>
          <t>Customizable Excel Template - User Guide</t>
        </is>
      </c>
    </row>
    <row r="3">
      <c r="A3" t="inlineStr"/>
      <c r="B3" t="inlineStr"/>
      <c r="C3" t="inlineStr"/>
    </row>
    <row r="4">
      <c r="A4" s="3" t="inlineStr">
        <is>
          <t>🎯 HOW TO USE THIS TEMPLATE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Step 1: Choose Your Team</t>
        </is>
      </c>
      <c r="B6" t="inlineStr"/>
      <c r="C6" t="inlineStr"/>
    </row>
    <row r="7">
      <c r="A7" t="inlineStr">
        <is>
          <t xml:space="preserve">   • Go to 'QC_Team_Evaluation' sheet for QC employees</t>
        </is>
      </c>
      <c r="B7" t="inlineStr"/>
      <c r="C7" t="inlineStr"/>
    </row>
    <row r="8">
      <c r="A8" t="inlineStr">
        <is>
          <t xml:space="preserve">   • Go to 'Production_Evaluation' sheet for Production Hand employees</t>
        </is>
      </c>
      <c r="B8" t="inlineStr"/>
      <c r="C8" t="inlineStr"/>
    </row>
    <row r="9">
      <c r="A9" t="inlineStr"/>
      <c r="B9" t="inlineStr"/>
      <c r="C9" t="inlineStr"/>
    </row>
    <row r="10">
      <c r="A10" t="inlineStr">
        <is>
          <t>Step 2: Adjust Weights (YELLOW CELLS in Row 6)</t>
        </is>
      </c>
      <c r="B10" t="inlineStr"/>
      <c r="C10" t="inlineStr"/>
    </row>
    <row r="11">
      <c r="A11" t="inlineStr">
        <is>
          <t xml:space="preserve">   • Click on any yellow cell in Row 6</t>
        </is>
      </c>
      <c r="B11" t="inlineStr"/>
      <c r="C11" t="inlineStr"/>
    </row>
    <row r="12">
      <c r="A12" t="inlineStr">
        <is>
          <t xml:space="preserve">   • Type your desired weight percentage (e.g., 60 for 60%)</t>
        </is>
      </c>
      <c r="B12" t="inlineStr"/>
      <c r="C12" t="inlineStr"/>
    </row>
    <row r="13">
      <c r="A13" t="inlineStr">
        <is>
          <t xml:space="preserve">   • Ensure TOTAL equals 100% (check Status column)</t>
        </is>
      </c>
      <c r="B13" t="inlineStr"/>
      <c r="C13" t="inlineStr"/>
    </row>
    <row r="14">
      <c r="A14" t="inlineStr">
        <is>
          <t xml:space="preserve">   • Scores update AUTOMATICALLY!</t>
        </is>
      </c>
      <c r="B14" t="inlineStr"/>
      <c r="C14" t="inlineStr"/>
    </row>
    <row r="15">
      <c r="A15" t="inlineStr"/>
      <c r="B15" t="inlineStr"/>
      <c r="C15" t="inlineStr"/>
    </row>
    <row r="16">
      <c r="A16" t="inlineStr">
        <is>
          <t>Step 3: Optional - Adjust Leave Threshold</t>
        </is>
      </c>
      <c r="B16" t="inlineStr"/>
      <c r="C16" t="inlineStr"/>
    </row>
    <row r="17">
      <c r="A17" t="inlineStr">
        <is>
          <t xml:space="preserve">   • Default is 50 hours</t>
        </is>
      </c>
      <c r="B17" t="inlineStr"/>
      <c r="C17" t="inlineStr"/>
    </row>
    <row r="18">
      <c r="A18" t="inlineStr">
        <is>
          <t xml:space="preserve">   • Change value in cell K5 (QC) or M5 (Production)</t>
        </is>
      </c>
      <c r="B18" t="inlineStr"/>
      <c r="C18" t="inlineStr"/>
    </row>
    <row r="19">
      <c r="A19" t="inlineStr"/>
      <c r="B19" t="inlineStr"/>
      <c r="C19" t="inlineStr"/>
    </row>
    <row r="20">
      <c r="A20" t="inlineStr">
        <is>
          <t>Step 4: Review Results</t>
        </is>
      </c>
      <c r="B20" t="inlineStr"/>
      <c r="C20" t="inlineStr"/>
    </row>
    <row r="21">
      <c r="A21" t="inlineStr">
        <is>
          <t xml:space="preserve">   • Final scores shown in green column</t>
        </is>
      </c>
      <c r="B21" t="inlineStr"/>
      <c r="C21" t="inlineStr"/>
    </row>
    <row r="22">
      <c r="A22" t="inlineStr">
        <is>
          <t xml:space="preserve">   • Rankings update automatically</t>
        </is>
      </c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s="3" t="inlineStr">
        <is>
          <t>📊 UNDERSTANDING THE SCORING</t>
        </is>
      </c>
      <c r="B25" t="inlineStr"/>
      <c r="C25" t="inlineStr"/>
    </row>
    <row r="26">
      <c r="A26" t="inlineStr"/>
      <c r="B26" t="inlineStr"/>
      <c r="C26" t="inlineStr"/>
    </row>
    <row r="27">
      <c r="A27" t="inlineStr">
        <is>
          <t>Min-Max Normalization:</t>
        </is>
      </c>
      <c r="B27" t="inlineStr"/>
      <c r="C27" t="inlineStr"/>
    </row>
    <row r="28">
      <c r="A28" t="inlineStr">
        <is>
          <t xml:space="preserve">   All metrics normalized to 0-1 scale</t>
        </is>
      </c>
      <c r="B28" t="inlineStr"/>
      <c r="C28" t="inlineStr"/>
    </row>
    <row r="29">
      <c r="A29" t="inlineStr">
        <is>
          <t xml:space="preserve">   Best performer = 1.0, Worst = 0.0</t>
        </is>
      </c>
      <c r="B29" t="inlineStr"/>
      <c r="C29" t="inlineStr"/>
    </row>
    <row r="30">
      <c r="A30" t="inlineStr">
        <is>
          <t xml:space="preserve">   Formula: (Value - Min) / (Max - Min)</t>
        </is>
      </c>
      <c r="B30" t="inlineStr"/>
      <c r="C30" t="inlineStr"/>
    </row>
    <row r="31">
      <c r="A31" t="inlineStr"/>
      <c r="B31" t="inlineStr"/>
      <c r="C31" t="inlineStr"/>
    </row>
    <row r="32">
      <c r="A32" t="inlineStr">
        <is>
          <t>Leave Penalty (Threshold-based):</t>
        </is>
      </c>
      <c r="B32" t="inlineStr"/>
      <c r="C32" t="inlineStr"/>
    </row>
    <row r="33">
      <c r="A33" t="inlineStr">
        <is>
          <t xml:space="preserve">   • Below threshold: NO penalty</t>
        </is>
      </c>
      <c r="B33" t="inlineStr"/>
      <c r="C33" t="inlineStr"/>
    </row>
    <row r="34">
      <c r="A34" t="inlineStr">
        <is>
          <t xml:space="preserve">   • Above threshold: Progressive penalty</t>
        </is>
      </c>
      <c r="B34" t="inlineStr"/>
      <c r="C34" t="inlineStr"/>
    </row>
    <row r="35">
      <c r="A35" t="inlineStr">
        <is>
          <t xml:space="preserve">   • Higher excess = Lower score</t>
        </is>
      </c>
      <c r="B35" t="inlineStr"/>
      <c r="C35" t="inlineStr"/>
    </row>
    <row r="36">
      <c r="A36" t="inlineStr"/>
      <c r="B36" t="inlineStr"/>
      <c r="C36" t="inlineStr"/>
    </row>
    <row r="37">
      <c r="A37" t="inlineStr">
        <is>
          <t>Weighted Scoring:</t>
        </is>
      </c>
      <c r="B37" t="inlineStr"/>
      <c r="C37" t="inlineStr"/>
    </row>
    <row r="38">
      <c r="A38" t="inlineStr">
        <is>
          <t xml:space="preserve">   Final Score = 20 × Σ(Normalized Metric × Weight)</t>
        </is>
      </c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s="3" t="inlineStr">
        <is>
          <t>⚙️ DEFAULT WEIGHTS</t>
        </is>
      </c>
      <c r="B41" t="inlineStr"/>
      <c r="C41" t="inlineStr"/>
    </row>
    <row r="42">
      <c r="A42" t="inlineStr"/>
      <c r="B42" t="inlineStr"/>
      <c r="C42" t="inlineStr"/>
    </row>
    <row r="43">
      <c r="A43" t="inlineStr">
        <is>
          <t>QC Team:</t>
        </is>
      </c>
      <c r="B43" t="inlineStr"/>
      <c r="C43" t="inlineStr"/>
    </row>
    <row r="44">
      <c r="A44" t="inlineStr">
        <is>
          <t xml:space="preserve">   Total Work Hours: 50%</t>
        </is>
      </c>
      <c r="B44" t="inlineStr"/>
      <c r="C44" t="inlineStr"/>
    </row>
    <row r="45">
      <c r="A45" t="inlineStr">
        <is>
          <t xml:space="preserve">   Leave: 10%</t>
        </is>
      </c>
      <c r="B45" t="inlineStr"/>
      <c r="C45" t="inlineStr"/>
    </row>
    <row r="46">
      <c r="A46" t="inlineStr">
        <is>
          <t xml:space="preserve">   Distinct Tasks: 15%</t>
        </is>
      </c>
      <c r="B46" t="inlineStr"/>
      <c r="C46" t="inlineStr"/>
    </row>
    <row r="47">
      <c r="A47" t="inlineStr">
        <is>
          <t xml:space="preserve">   Projects: 5%</t>
        </is>
      </c>
      <c r="B47" t="inlineStr"/>
      <c r="C47" t="inlineStr"/>
    </row>
    <row r="48">
      <c r="A48" t="inlineStr">
        <is>
          <t xml:space="preserve">   Total Tasks: 5%</t>
        </is>
      </c>
      <c r="B48" t="inlineStr"/>
      <c r="C48" t="inlineStr"/>
    </row>
    <row r="49">
      <c r="A49" t="inlineStr">
        <is>
          <t xml:space="preserve">   TL Score: 15%</t>
        </is>
      </c>
      <c r="B49" t="inlineStr"/>
      <c r="C49" t="inlineStr"/>
    </row>
    <row r="50">
      <c r="A50" t="inlineStr"/>
      <c r="B50" t="inlineStr"/>
      <c r="C50" t="inlineStr"/>
    </row>
    <row r="51">
      <c r="A51" t="inlineStr">
        <is>
          <t>Production Hand:</t>
        </is>
      </c>
      <c r="B51" t="inlineStr"/>
      <c r="C51" t="inlineStr"/>
    </row>
    <row r="52">
      <c r="A52" t="inlineStr">
        <is>
          <t xml:space="preserve">   Production Hours: 50%</t>
        </is>
      </c>
      <c r="B52" t="inlineStr"/>
      <c r="C52" t="inlineStr"/>
    </row>
    <row r="53">
      <c r="A53" t="inlineStr">
        <is>
          <t xml:space="preserve">   Leave: 10%</t>
        </is>
      </c>
      <c r="B53" t="inlineStr"/>
      <c r="C53" t="inlineStr"/>
    </row>
    <row r="54">
      <c r="A54" t="inlineStr">
        <is>
          <t xml:space="preserve">   Prod/QC Ratio: 20%</t>
        </is>
      </c>
      <c r="B54" t="inlineStr"/>
      <c r="C54" t="inlineStr"/>
    </row>
    <row r="55">
      <c r="A55" t="inlineStr">
        <is>
          <t xml:space="preserve">   Distinct Tasks: 5%</t>
        </is>
      </c>
      <c r="B55" t="inlineStr"/>
      <c r="C55" t="inlineStr"/>
    </row>
    <row r="56">
      <c r="A56" t="inlineStr">
        <is>
          <t xml:space="preserve">   Projects: 3%</t>
        </is>
      </c>
      <c r="B56" t="inlineStr"/>
      <c r="C56" t="inlineStr"/>
    </row>
    <row r="57">
      <c r="A57" t="inlineStr">
        <is>
          <t xml:space="preserve">   Total Tasks: 2%</t>
        </is>
      </c>
      <c r="B57" t="inlineStr"/>
      <c r="C57" t="inlineStr"/>
    </row>
    <row r="58">
      <c r="A58" t="inlineStr">
        <is>
          <t xml:space="preserve">   Avg Evaluation: 5%</t>
        </is>
      </c>
      <c r="B58" t="inlineStr"/>
      <c r="C58" t="inlineStr"/>
    </row>
    <row r="59">
      <c r="A59" t="inlineStr">
        <is>
          <t xml:space="preserve">   Consistency: 5%</t>
        </is>
      </c>
      <c r="B59" t="inlineStr"/>
      <c r="C59" t="inlineStr"/>
    </row>
    <row r="60">
      <c r="A60" t="inlineStr"/>
      <c r="B60" t="inlineStr"/>
      <c r="C60" t="inlineStr"/>
    </row>
    <row r="61">
      <c r="A61" t="inlineStr"/>
      <c r="B61" t="inlineStr"/>
      <c r="C61" t="inlineStr"/>
    </row>
    <row r="62">
      <c r="A62" s="3" t="inlineStr">
        <is>
          <t>💡 TIPS FOR EFFECTIVE USE</t>
        </is>
      </c>
      <c r="B62" t="inlineStr"/>
      <c r="C62" t="inlineStr"/>
    </row>
    <row r="63">
      <c r="A63" t="inlineStr"/>
      <c r="B63" t="inlineStr"/>
      <c r="C63" t="inlineStr"/>
    </row>
    <row r="64">
      <c r="A64" t="inlineStr">
        <is>
          <t>• Experiment with different weight combinations</t>
        </is>
      </c>
      <c r="B64" t="inlineStr"/>
      <c r="C64" t="inlineStr"/>
    </row>
    <row r="65">
      <c r="A65" t="inlineStr">
        <is>
          <t>• Compare scenarios side-by-side</t>
        </is>
      </c>
      <c r="B65" t="inlineStr"/>
      <c r="C65" t="inlineStr"/>
    </row>
    <row r="66">
      <c r="A66" t="inlineStr">
        <is>
          <t>• Use for 'what-if' analysis</t>
        </is>
      </c>
      <c r="B66" t="inlineStr"/>
      <c r="C66" t="inlineStr"/>
    </row>
    <row r="67">
      <c r="A67" t="inlineStr">
        <is>
          <t>• Save different versions for different priorities</t>
        </is>
      </c>
      <c r="B67" t="inlineStr"/>
      <c r="C67" t="inlineStr"/>
    </row>
    <row r="68">
      <c r="A68" t="inlineStr">
        <is>
          <t>• Review rankings after each weight change</t>
        </is>
      </c>
      <c r="B68" t="inlineStr"/>
      <c r="C68" t="inlineStr"/>
    </row>
    <row r="69">
      <c r="A69" t="inlineStr"/>
      <c r="B69" t="inlineStr"/>
      <c r="C69" t="inlineStr"/>
    </row>
    <row r="70">
      <c r="A70" t="inlineStr"/>
      <c r="B70" t="inlineStr"/>
      <c r="C70" t="inlineStr"/>
    </row>
    <row r="71">
      <c r="A71" s="3" t="inlineStr">
        <is>
          <t>📝 NOTES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• Formulas are protected but weights are editable</t>
        </is>
      </c>
      <c r="B73" t="inlineStr"/>
      <c r="C73" t="inlineStr"/>
    </row>
    <row r="74">
      <c r="A74" t="inlineStr">
        <is>
          <t>• All calculations happen in real-time</t>
        </is>
      </c>
      <c r="B74" t="inlineStr"/>
      <c r="C74" t="inlineStr"/>
    </row>
    <row r="75">
      <c r="A75" t="inlineStr">
        <is>
          <t>• Data source: Manual entry from KDxx Operator Analysis 1.xlsx</t>
        </is>
      </c>
      <c r="B75" t="inlineStr"/>
      <c r="C75" t="inlineStr"/>
    </row>
    <row r="76">
      <c r="A76" t="inlineStr">
        <is>
          <t>• Consistency scores are approximate</t>
        </is>
      </c>
      <c r="B76" t="inlineStr"/>
      <c r="C76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0" customWidth="1" min="9" max="9"/>
    <col width="16" customWidth="1" min="10" max="10"/>
    <col width="10" customWidth="1" min="11" max="11"/>
    <col width="5" customWidth="1" min="12" max="12"/>
  </cols>
  <sheetData>
    <row r="1">
      <c r="A1" s="4" t="inlineStr">
        <is>
          <t>QC TEAM PERFORMANCE EVALUATION - CUSTOMIZABLE</t>
        </is>
      </c>
    </row>
    <row r="2">
      <c r="A2" s="5" t="inlineStr">
        <is>
          <t>📝 EDIT YELLOW CELLS (Row 6) to adjust weights. Total must equal 100%</t>
        </is>
      </c>
    </row>
    <row r="4">
      <c r="A4" s="6" t="inlineStr">
        <is>
          <t>⚙️ ADJUSTABLE WEIGHTS (Change these values)</t>
        </is>
      </c>
    </row>
    <row r="5">
      <c r="A5" s="7" t="inlineStr">
        <is>
          <t>Total Work Hrs %</t>
        </is>
      </c>
      <c r="B5" s="7" t="inlineStr">
        <is>
          <t>Leave %</t>
        </is>
      </c>
      <c r="C5" s="7" t="inlineStr">
        <is>
          <t>Distinct Tasks %</t>
        </is>
      </c>
      <c r="D5" s="7" t="inlineStr">
        <is>
          <t>Projects %</t>
        </is>
      </c>
      <c r="E5" s="7" t="inlineStr">
        <is>
          <t>Total Tasks %</t>
        </is>
      </c>
      <c r="F5" s="7" t="inlineStr">
        <is>
          <t>TL Score %</t>
        </is>
      </c>
      <c r="G5" s="7" t="inlineStr">
        <is>
          <t>TOTAL %</t>
        </is>
      </c>
      <c r="H5" s="7" t="inlineStr">
        <is>
          <t>Status</t>
        </is>
      </c>
      <c r="J5" s="8" t="inlineStr">
        <is>
          <t>Leave Threshold:</t>
        </is>
      </c>
      <c r="K5" s="9" t="n">
        <v>50</v>
      </c>
    </row>
    <row r="6">
      <c r="A6" s="9" t="n">
        <v>50</v>
      </c>
      <c r="B6" s="9" t="n">
        <v>10</v>
      </c>
      <c r="C6" s="9" t="n">
        <v>15</v>
      </c>
      <c r="D6" s="9" t="n">
        <v>5</v>
      </c>
      <c r="E6" s="9" t="n">
        <v>5</v>
      </c>
      <c r="F6" s="9" t="n">
        <v>15</v>
      </c>
      <c r="G6" s="10">
        <f>SUM(A6:F6)</f>
        <v/>
      </c>
      <c r="H6" s="11">
        <f>IF(G6=100,"✓ VALID","✗ MUST BE 100%")</f>
        <v/>
      </c>
    </row>
    <row r="8">
      <c r="A8" s="7" t="inlineStr">
        <is>
          <t>Name</t>
        </is>
      </c>
      <c r="B8" s="7" t="inlineStr">
        <is>
          <t>Total Work Hrs</t>
        </is>
      </c>
      <c r="C8" s="7" t="inlineStr">
        <is>
          <t>Leave (H)</t>
        </is>
      </c>
      <c r="D8" s="7" t="inlineStr">
        <is>
          <t>Distinct Tasks</t>
        </is>
      </c>
      <c r="E8" s="7" t="inlineStr">
        <is>
          <t>Projects</t>
        </is>
      </c>
      <c r="F8" s="7" t="inlineStr">
        <is>
          <t>Total Tasks</t>
        </is>
      </c>
      <c r="G8" s="7" t="inlineStr">
        <is>
          <t>TL Score</t>
        </is>
      </c>
      <c r="H8" s="7" t="inlineStr">
        <is>
          <t>FINAL SCORE (/20)</t>
        </is>
      </c>
      <c r="I8" s="7" t="inlineStr">
        <is>
          <t>RANK</t>
        </is>
      </c>
    </row>
    <row r="9">
      <c r="A9" s="12" t="inlineStr">
        <is>
          <t>Kishor</t>
        </is>
      </c>
      <c r="B9" s="13" t="n">
        <v>894</v>
      </c>
      <c r="C9" s="13" t="n">
        <v>131.5</v>
      </c>
      <c r="D9" s="13" t="n">
        <v>16</v>
      </c>
      <c r="E9" s="13" t="n">
        <v>37</v>
      </c>
      <c r="F9" s="13" t="n">
        <v>165</v>
      </c>
      <c r="G9" s="13" t="n">
        <v>20</v>
      </c>
      <c r="H9" s="14">
        <f>20*(((B9-MIN(B$9:B$16))/(MAX(B$9:B$16)-MIN(B$9:B$16)+0.0001))*($A$6/100) + (1-MAX(C9-$K$5,0)/(MAX(C$9:C$16-$K$5)+0.0001))*($B$6/100) + ((D9-MIN(D$9:D$16))/(MAX(D$9:D$16)-MIN(D$9:D$16)+0.0001))*($C$6/100) + ((E9-MIN(E$9:E$16))/(MAX(E$9:E$16)-MIN(E$9:E$16)+0.0001))*($D$6/100) + ((F9-MIN(F$9:F$16))/(MAX(F$9:F$16)-MIN(F$9:F$16)+0.0001))*($E$6/100) + ((G9-MIN(G$9:G$16))/(MAX(G$9:G$16)-MIN(G$9:G$16)+0.0001))*($F$6/100))</f>
        <v/>
      </c>
      <c r="I9" s="15">
        <f>RANK(H9,H$9:H$16,0)</f>
        <v/>
      </c>
    </row>
    <row r="10">
      <c r="A10" s="12" t="inlineStr">
        <is>
          <t>Mobin</t>
        </is>
      </c>
      <c r="B10" s="13" t="n">
        <v>1013</v>
      </c>
      <c r="C10" s="13" t="n">
        <v>46</v>
      </c>
      <c r="D10" s="13" t="n">
        <v>14</v>
      </c>
      <c r="E10" s="13" t="n">
        <v>37</v>
      </c>
      <c r="F10" s="13" t="n">
        <v>137</v>
      </c>
      <c r="G10" s="13" t="n">
        <v>20</v>
      </c>
      <c r="H10" s="14">
        <f>20*(((B10-MIN(B$9:B$16))/(MAX(B$9:B$16)-MIN(B$9:B$16)+0.0001))*($A$6/100) + (1-MAX(C10-$K$5,0)/(MAX(C$9:C$16-$K$5)+0.0001))*($B$6/100) + ((D10-MIN(D$9:D$16))/(MAX(D$9:D$16)-MIN(D$9:D$16)+0.0001))*($C$6/100) + ((E10-MIN(E$9:E$16))/(MAX(E$9:E$16)-MIN(E$9:E$16)+0.0001))*($D$6/100) + ((F10-MIN(F$9:F$16))/(MAX(F$9:F$16)-MIN(F$9:F$16)+0.0001))*($E$6/100) + ((G10-MIN(G$9:G$16))/(MAX(G$9:G$16)-MIN(G$9:G$16)+0.0001))*($F$6/100))</f>
        <v/>
      </c>
      <c r="I10" s="15">
        <f>RANK(H10,H$9:H$16,0)</f>
        <v/>
      </c>
    </row>
    <row r="11">
      <c r="A11" s="12" t="inlineStr">
        <is>
          <t>Mukhlesur</t>
        </is>
      </c>
      <c r="B11" s="13" t="n">
        <v>701</v>
      </c>
      <c r="C11" s="13" t="n">
        <v>39</v>
      </c>
      <c r="D11" s="13" t="n">
        <v>13</v>
      </c>
      <c r="E11" s="13" t="n">
        <v>28</v>
      </c>
      <c r="F11" s="13" t="n">
        <v>96</v>
      </c>
      <c r="G11" s="13" t="n">
        <v>19</v>
      </c>
      <c r="H11" s="14">
        <f>20*(((B11-MIN(B$9:B$16))/(MAX(B$9:B$16)-MIN(B$9:B$16)+0.0001))*($A$6/100) + (1-MAX(C11-$K$5,0)/(MAX(C$9:C$16-$K$5)+0.0001))*($B$6/100) + ((D11-MIN(D$9:D$16))/(MAX(D$9:D$16)-MIN(D$9:D$16)+0.0001))*($C$6/100) + ((E11-MIN(E$9:E$16))/(MAX(E$9:E$16)-MIN(E$9:E$16)+0.0001))*($D$6/100) + ((F11-MIN(F$9:F$16))/(MAX(F$9:F$16)-MIN(F$9:F$16)+0.0001))*($E$6/100) + ((G11-MIN(G$9:G$16))/(MAX(G$9:G$16)-MIN(G$9:G$16)+0.0001))*($F$6/100))</f>
        <v/>
      </c>
      <c r="I11" s="15">
        <f>RANK(H11,H$9:H$16,0)</f>
        <v/>
      </c>
    </row>
    <row r="12">
      <c r="A12" s="12" t="inlineStr">
        <is>
          <t>Razim</t>
        </is>
      </c>
      <c r="B12" s="13" t="n">
        <v>834.5</v>
      </c>
      <c r="C12" s="13" t="n">
        <v>96</v>
      </c>
      <c r="D12" s="13" t="n">
        <v>13</v>
      </c>
      <c r="E12" s="13" t="n">
        <v>28</v>
      </c>
      <c r="F12" s="13" t="n">
        <v>125</v>
      </c>
      <c r="G12" s="13" t="n">
        <v>20</v>
      </c>
      <c r="H12" s="14">
        <f>20*(((B12-MIN(B$9:B$16))/(MAX(B$9:B$16)-MIN(B$9:B$16)+0.0001))*($A$6/100) + (1-MAX(C12-$K$5,0)/(MAX(C$9:C$16-$K$5)+0.0001))*($B$6/100) + ((D12-MIN(D$9:D$16))/(MAX(D$9:D$16)-MIN(D$9:D$16)+0.0001))*($C$6/100) + ((E12-MIN(E$9:E$16))/(MAX(E$9:E$16)-MIN(E$9:E$16)+0.0001))*($D$6/100) + ((F12-MIN(F$9:F$16))/(MAX(F$9:F$16)-MIN(F$9:F$16)+0.0001))*($E$6/100) + ((G12-MIN(G$9:G$16))/(MAX(G$9:G$16)-MIN(G$9:G$16)+0.0001))*($F$6/100))</f>
        <v/>
      </c>
      <c r="I12" s="15">
        <f>RANK(H12,H$9:H$16,0)</f>
        <v/>
      </c>
    </row>
    <row r="13">
      <c r="A13" s="12" t="inlineStr">
        <is>
          <t>Riajul</t>
        </is>
      </c>
      <c r="B13" s="13" t="n">
        <v>862</v>
      </c>
      <c r="C13" s="13" t="n">
        <v>52</v>
      </c>
      <c r="D13" s="13" t="n">
        <v>13</v>
      </c>
      <c r="E13" s="13" t="n">
        <v>32</v>
      </c>
      <c r="F13" s="13" t="n">
        <v>103</v>
      </c>
      <c r="G13" s="13" t="n">
        <v>14</v>
      </c>
      <c r="H13" s="14">
        <f>20*(((B13-MIN(B$9:B$16))/(MAX(B$9:B$16)-MIN(B$9:B$16)+0.0001))*($A$6/100) + (1-MAX(C13-$K$5,0)/(MAX(C$9:C$16-$K$5)+0.0001))*($B$6/100) + ((D13-MIN(D$9:D$16))/(MAX(D$9:D$16)-MIN(D$9:D$16)+0.0001))*($C$6/100) + ((E13-MIN(E$9:E$16))/(MAX(E$9:E$16)-MIN(E$9:E$16)+0.0001))*($D$6/100) + ((F13-MIN(F$9:F$16))/(MAX(F$9:F$16)-MIN(F$9:F$16)+0.0001))*($E$6/100) + ((G13-MIN(G$9:G$16))/(MAX(G$9:G$16)-MIN(G$9:G$16)+0.0001))*($F$6/100))</f>
        <v/>
      </c>
      <c r="I13" s="15">
        <f>RANK(H13,H$9:H$16,0)</f>
        <v/>
      </c>
    </row>
    <row r="14">
      <c r="A14" s="12" t="inlineStr">
        <is>
          <t>Umbia</t>
        </is>
      </c>
      <c r="B14" s="13" t="n">
        <v>897.5</v>
      </c>
      <c r="C14" s="13" t="n">
        <v>80.5</v>
      </c>
      <c r="D14" s="13" t="n">
        <v>13</v>
      </c>
      <c r="E14" s="13" t="n">
        <v>34</v>
      </c>
      <c r="F14" s="13" t="n">
        <v>119</v>
      </c>
      <c r="G14" s="13" t="n">
        <v>17</v>
      </c>
      <c r="H14" s="14">
        <f>20*(((B14-MIN(B$9:B$16))/(MAX(B$9:B$16)-MIN(B$9:B$16)+0.0001))*($A$6/100) + (1-MAX(C14-$K$5,0)/(MAX(C$9:C$16-$K$5)+0.0001))*($B$6/100) + ((D14-MIN(D$9:D$16))/(MAX(D$9:D$16)-MIN(D$9:D$16)+0.0001))*($C$6/100) + ((E14-MIN(E$9:E$16))/(MAX(E$9:E$16)-MIN(E$9:E$16)+0.0001))*($D$6/100) + ((F14-MIN(F$9:F$16))/(MAX(F$9:F$16)-MIN(F$9:F$16)+0.0001))*($E$6/100) + ((G14-MIN(G$9:G$16))/(MAX(G$9:G$16)-MIN(G$9:G$16)+0.0001))*($F$6/100))</f>
        <v/>
      </c>
      <c r="I14" s="15">
        <f>RANK(H14,H$9:H$16,0)</f>
        <v/>
      </c>
    </row>
    <row r="15">
      <c r="A15" s="12" t="inlineStr">
        <is>
          <t>Urmi</t>
        </is>
      </c>
      <c r="B15" s="13" t="n">
        <v>800.5</v>
      </c>
      <c r="C15" s="13" t="n">
        <v>99</v>
      </c>
      <c r="D15" s="13" t="n">
        <v>13</v>
      </c>
      <c r="E15" s="13" t="n">
        <v>36</v>
      </c>
      <c r="F15" s="13" t="n">
        <v>119</v>
      </c>
      <c r="G15" s="13" t="n">
        <v>18</v>
      </c>
      <c r="H15" s="14">
        <f>20*(((B15-MIN(B$9:B$16))/(MAX(B$9:B$16)-MIN(B$9:B$16)+0.0001))*($A$6/100) + (1-MAX(C15-$K$5,0)/(MAX(C$9:C$16-$K$5)+0.0001))*($B$6/100) + ((D15-MIN(D$9:D$16))/(MAX(D$9:D$16)-MIN(D$9:D$16)+0.0001))*($C$6/100) + ((E15-MIN(E$9:E$16))/(MAX(E$9:E$16)-MIN(E$9:E$16)+0.0001))*($D$6/100) + ((F15-MIN(F$9:F$16))/(MAX(F$9:F$16)-MIN(F$9:F$16)+0.0001))*($E$6/100) + ((G15-MIN(G$9:G$16))/(MAX(G$9:G$16)-MIN(G$9:G$16)+0.0001))*($F$6/100))</f>
        <v/>
      </c>
      <c r="I15" s="15">
        <f>RANK(H15,H$9:H$16,0)</f>
        <v/>
      </c>
    </row>
    <row r="16">
      <c r="A16" s="12" t="inlineStr">
        <is>
          <t>Zahidul</t>
        </is>
      </c>
      <c r="B16" s="13" t="n">
        <v>718.5</v>
      </c>
      <c r="C16" s="13" t="n">
        <v>99</v>
      </c>
      <c r="D16" s="13" t="n">
        <v>13</v>
      </c>
      <c r="E16" s="13" t="n">
        <v>26</v>
      </c>
      <c r="F16" s="13" t="n">
        <v>131</v>
      </c>
      <c r="G16" s="13" t="n">
        <v>15</v>
      </c>
      <c r="H16" s="14">
        <f>20*(((B16-MIN(B$9:B$16))/(MAX(B$9:B$16)-MIN(B$9:B$16)+0.0001))*($A$6/100) + (1-MAX(C16-$K$5,0)/(MAX(C$9:C$16-$K$5)+0.0001))*($B$6/100) + ((D16-MIN(D$9:D$16))/(MAX(D$9:D$16)-MIN(D$9:D$16)+0.0001))*($C$6/100) + ((E16-MIN(E$9:E$16))/(MAX(E$9:E$16)-MIN(E$9:E$16)+0.0001))*($D$6/100) + ((F16-MIN(F$9:F$16))/(MAX(F$9:F$16)-MIN(F$9:F$16)+0.0001))*($E$6/100) + ((G16-MIN(G$9:G$16))/(MAX(G$9:G$16)-MIN(G$9:G$16)+0.0001))*($F$6/100))</f>
        <v/>
      </c>
      <c r="I16" s="15">
        <f>RANK(H16,H$9:H$16,0)</f>
        <v/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16" customWidth="1" min="12" max="12"/>
    <col width="10" customWidth="1" min="13" max="13"/>
    <col width="5" customWidth="1" min="14" max="14"/>
  </cols>
  <sheetData>
    <row r="1">
      <c r="A1" s="4" t="inlineStr">
        <is>
          <t>PRODUCTION HAND PERFORMANCE EVALUATION - CUSTOMIZABLE</t>
        </is>
      </c>
    </row>
    <row r="2">
      <c r="A2" s="5" t="inlineStr">
        <is>
          <t>📝 EDIT YELLOW CELLS (Row 6) to adjust weights. Total must equal 100%</t>
        </is>
      </c>
    </row>
    <row r="4">
      <c r="A4" s="6" t="inlineStr">
        <is>
          <t>⚙️ ADJUSTABLE WEIGHTS (Change these values)</t>
        </is>
      </c>
    </row>
    <row r="5">
      <c r="A5" s="7" t="inlineStr">
        <is>
          <t>Production %</t>
        </is>
      </c>
      <c r="B5" s="7" t="inlineStr">
        <is>
          <t>Leave %</t>
        </is>
      </c>
      <c r="C5" s="7" t="inlineStr">
        <is>
          <t>Prod/QC %</t>
        </is>
      </c>
      <c r="D5" s="7" t="inlineStr">
        <is>
          <t>Distinct %</t>
        </is>
      </c>
      <c r="E5" s="7" t="inlineStr">
        <is>
          <t>Projects %</t>
        </is>
      </c>
      <c r="F5" s="7" t="inlineStr">
        <is>
          <t>Tasks %</t>
        </is>
      </c>
      <c r="G5" s="7" t="inlineStr">
        <is>
          <t>Avg Eval %</t>
        </is>
      </c>
      <c r="H5" s="7" t="inlineStr">
        <is>
          <t>Consistency %</t>
        </is>
      </c>
      <c r="I5" s="7" t="inlineStr">
        <is>
          <t>TOTAL %</t>
        </is>
      </c>
      <c r="J5" s="7" t="inlineStr">
        <is>
          <t>Status</t>
        </is>
      </c>
      <c r="L5" s="8" t="inlineStr">
        <is>
          <t>Leave Threshold:</t>
        </is>
      </c>
      <c r="M5" s="9" t="n">
        <v>50</v>
      </c>
    </row>
    <row r="6">
      <c r="A6" s="9" t="n">
        <v>50</v>
      </c>
      <c r="B6" s="9" t="n">
        <v>10</v>
      </c>
      <c r="C6" s="9" t="n">
        <v>20</v>
      </c>
      <c r="D6" s="9" t="n">
        <v>5</v>
      </c>
      <c r="E6" s="9" t="n">
        <v>3</v>
      </c>
      <c r="F6" s="9" t="n">
        <v>2</v>
      </c>
      <c r="G6" s="9" t="n">
        <v>5</v>
      </c>
      <c r="H6" s="9" t="n">
        <v>5</v>
      </c>
      <c r="I6" s="16">
        <f>SUM(A6:H6)</f>
        <v/>
      </c>
      <c r="J6" s="11">
        <f>IF(I6=100,"✓ VALID","✗ MUST BE 100%")</f>
        <v/>
      </c>
    </row>
    <row r="8">
      <c r="A8" s="7" t="inlineStr">
        <is>
          <t>Name</t>
        </is>
      </c>
      <c r="B8" s="7" t="inlineStr">
        <is>
          <t>Production (H)</t>
        </is>
      </c>
      <c r="C8" s="7" t="inlineStr">
        <is>
          <t>Leave (H)</t>
        </is>
      </c>
      <c r="D8" s="7" t="inlineStr">
        <is>
          <t>Prod/QC Ratio</t>
        </is>
      </c>
      <c r="E8" s="7" t="inlineStr">
        <is>
          <t>Distinct Tasks</t>
        </is>
      </c>
      <c r="F8" s="7" t="inlineStr">
        <is>
          <t>Projects</t>
        </is>
      </c>
      <c r="G8" s="7" t="inlineStr">
        <is>
          <t>Total Tasks</t>
        </is>
      </c>
      <c r="H8" s="7" t="inlineStr">
        <is>
          <t>Avg Eval (/10)</t>
        </is>
      </c>
      <c r="I8" s="7" t="inlineStr">
        <is>
          <t>Consistency</t>
        </is>
      </c>
      <c r="J8" s="7" t="inlineStr">
        <is>
          <t>FINAL SCORE (/20)</t>
        </is>
      </c>
      <c r="K8" s="7" t="inlineStr">
        <is>
          <t>RANK</t>
        </is>
      </c>
    </row>
    <row r="9">
      <c r="A9" s="12" t="inlineStr">
        <is>
          <t>Liza</t>
        </is>
      </c>
      <c r="B9" s="13" t="n">
        <v>625.5</v>
      </c>
      <c r="C9" s="13" t="n">
        <v>96</v>
      </c>
      <c r="D9" s="13" t="n">
        <v>5.439130434782609</v>
      </c>
      <c r="E9" s="13" t="n">
        <v>13</v>
      </c>
      <c r="F9" s="13" t="n">
        <v>32</v>
      </c>
      <c r="G9" s="13" t="n">
        <v>60</v>
      </c>
      <c r="H9" s="13" t="n">
        <v>8.654999999999999</v>
      </c>
      <c r="I9" s="13" t="n">
        <v>0.85</v>
      </c>
      <c r="J9" s="14">
        <f>20*(((B9-MIN(B$9:B$24))/(MAX(B$9:B$24)-MIN(B$9:B$24)+0.0001))*($A$6/100) + (1-MAX(C9-$M$5,0)/(MAX(C$9:C$24-$M$5)+0.0001))*($B$6/100) + ((D9-MIN(D$9:D$24))/(MAX(D$9:D$24)-MIN(D$9:D$24)+0.0001))*($C$6/100) + ((E9-MIN(E$9:E$24))/(MAX(E$9:E$24)-MIN(E$9:E$24)+0.0001))*($D$6/100) + ((F9-MIN(F$9:F$24))/(MAX(F$9:F$24)-MIN(F$9:F$24)+0.0001))*($E$6/100) + ((G9-MIN(G$9:G$24))/(MAX(G$9:G$24)-MIN(G$9:G$24)+0.0001))*($F$6/100) + ((H9/10-MIN(H$9:H$24/10))/(MAX(H$9:H$24/10)-MIN(H$9:H$24/10)+0.0001))*($G$6/100) + ((I9-MIN(I$9:I$24))/(MAX(I$9:I$24)-MIN(I$9:I$24)+0.0001))*($H$6/100))</f>
        <v/>
      </c>
      <c r="K9" s="15">
        <f>RANK(J9,J$9:J$24,0)</f>
        <v/>
      </c>
    </row>
    <row r="10">
      <c r="A10" s="12" t="inlineStr">
        <is>
          <t>Arif</t>
        </is>
      </c>
      <c r="B10" s="13" t="n">
        <v>423</v>
      </c>
      <c r="C10" s="13" t="n">
        <v>48</v>
      </c>
      <c r="D10" s="13" t="n">
        <v>2.907216494845361</v>
      </c>
      <c r="E10" s="13" t="n">
        <v>9</v>
      </c>
      <c r="F10" s="13" t="n">
        <v>24</v>
      </c>
      <c r="G10" s="13" t="n">
        <v>42</v>
      </c>
      <c r="H10" s="13" t="n">
        <v>7.333</v>
      </c>
      <c r="I10" s="13" t="n">
        <v>0.78</v>
      </c>
      <c r="J10" s="14">
        <f>20*(((B10-MIN(B$9:B$24))/(MAX(B$9:B$24)-MIN(B$9:B$24)+0.0001))*($A$6/100) + (1-MAX(C10-$M$5,0)/(MAX(C$9:C$24-$M$5)+0.0001))*($B$6/100) + ((D10-MIN(D$9:D$24))/(MAX(D$9:D$24)-MIN(D$9:D$24)+0.0001))*($C$6/100) + ((E10-MIN(E$9:E$24))/(MAX(E$9:E$24)-MIN(E$9:E$24)+0.0001))*($D$6/100) + ((F10-MIN(F$9:F$24))/(MAX(F$9:F$24)-MIN(F$9:F$24)+0.0001))*($E$6/100) + ((G10-MIN(G$9:G$24))/(MAX(G$9:G$24)-MIN(G$9:G$24)+0.0001))*($F$6/100) + ((H10/10-MIN(H$9:H$24/10))/(MAX(H$9:H$24/10)-MIN(H$9:H$24/10)+0.0001))*($G$6/100) + ((I10-MIN(I$9:I$24))/(MAX(I$9:I$24)-MIN(I$9:I$24)+0.0001))*($H$6/100))</f>
        <v/>
      </c>
      <c r="K10" s="15">
        <f>RANK(J10,J$9:J$24,0)</f>
        <v/>
      </c>
    </row>
    <row r="11">
      <c r="A11" s="12" t="inlineStr">
        <is>
          <t>Lia</t>
        </is>
      </c>
      <c r="B11" s="13" t="n">
        <v>378.5</v>
      </c>
      <c r="C11" s="13" t="n">
        <v>89</v>
      </c>
      <c r="D11" s="13" t="n">
        <v>3.102459016393443</v>
      </c>
      <c r="E11" s="13" t="n">
        <v>8</v>
      </c>
      <c r="F11" s="13" t="n">
        <v>23</v>
      </c>
      <c r="G11" s="13" t="n">
        <v>43</v>
      </c>
      <c r="H11" s="13" t="n">
        <v>7.35</v>
      </c>
      <c r="I11" s="13" t="n">
        <v>0.82</v>
      </c>
      <c r="J11" s="14">
        <f>20*(((B11-MIN(B$9:B$24))/(MAX(B$9:B$24)-MIN(B$9:B$24)+0.0001))*($A$6/100) + (1-MAX(C11-$M$5,0)/(MAX(C$9:C$24-$M$5)+0.0001))*($B$6/100) + ((D11-MIN(D$9:D$24))/(MAX(D$9:D$24)-MIN(D$9:D$24)+0.0001))*($C$6/100) + ((E11-MIN(E$9:E$24))/(MAX(E$9:E$24)-MIN(E$9:E$24)+0.0001))*($D$6/100) + ((F11-MIN(F$9:F$24))/(MAX(F$9:F$24)-MIN(F$9:F$24)+0.0001))*($E$6/100) + ((G11-MIN(G$9:G$24))/(MAX(G$9:G$24)-MIN(G$9:G$24)+0.0001))*($F$6/100) + ((H11/10-MIN(H$9:H$24/10))/(MAX(H$9:H$24/10)-MIN(H$9:H$24/10)+0.0001))*($G$6/100) + ((I11-MIN(I$9:I$24))/(MAX(I$9:I$24)-MIN(I$9:I$24)+0.0001))*($H$6/100))</f>
        <v/>
      </c>
      <c r="K11" s="15">
        <f>RANK(J11,J$9:J$24,0)</f>
        <v/>
      </c>
    </row>
    <row r="12">
      <c r="A12" s="12" t="inlineStr">
        <is>
          <t>Chotan</t>
        </is>
      </c>
      <c r="B12" s="13" t="n">
        <v>738</v>
      </c>
      <c r="C12" s="13" t="n">
        <v>73</v>
      </c>
      <c r="D12" s="13" t="n">
        <v>6.417391304347826</v>
      </c>
      <c r="E12" s="13" t="n">
        <v>13</v>
      </c>
      <c r="F12" s="13" t="n">
        <v>27</v>
      </c>
      <c r="G12" s="13" t="n">
        <v>66</v>
      </c>
      <c r="H12" s="13" t="n">
        <v>8.75</v>
      </c>
      <c r="I12" s="13" t="n">
        <v>0.9</v>
      </c>
      <c r="J12" s="14">
        <f>20*(((B12-MIN(B$9:B$24))/(MAX(B$9:B$24)-MIN(B$9:B$24)+0.0001))*($A$6/100) + (1-MAX(C12-$M$5,0)/(MAX(C$9:C$24-$M$5)+0.0001))*($B$6/100) + ((D12-MIN(D$9:D$24))/(MAX(D$9:D$24)-MIN(D$9:D$24)+0.0001))*($C$6/100) + ((E12-MIN(E$9:E$24))/(MAX(E$9:E$24)-MIN(E$9:E$24)+0.0001))*($D$6/100) + ((F12-MIN(F$9:F$24))/(MAX(F$9:F$24)-MIN(F$9:F$24)+0.0001))*($E$6/100) + ((G12-MIN(G$9:G$24))/(MAX(G$9:G$24)-MIN(G$9:G$24)+0.0001))*($F$6/100) + ((H12/10-MIN(H$9:H$24/10))/(MAX(H$9:H$24/10)-MIN(H$9:H$24/10)+0.0001))*($G$6/100) + ((I12-MIN(I$9:I$24))/(MAX(I$9:I$24)-MIN(I$9:I$24)+0.0001))*($H$6/100))</f>
        <v/>
      </c>
      <c r="K12" s="15">
        <f>RANK(J12,J$9:J$24,0)</f>
        <v/>
      </c>
    </row>
    <row r="13">
      <c r="A13" s="12" t="inlineStr">
        <is>
          <t>Sume</t>
        </is>
      </c>
      <c r="B13" s="13" t="n">
        <v>423</v>
      </c>
      <c r="C13" s="13" t="n">
        <v>133</v>
      </c>
      <c r="D13" s="13" t="n">
        <v>5.458064516129032</v>
      </c>
      <c r="E13" s="13" t="n">
        <v>6</v>
      </c>
      <c r="F13" s="13" t="n">
        <v>19</v>
      </c>
      <c r="G13" s="13" t="n">
        <v>36</v>
      </c>
      <c r="H13" s="13" t="n">
        <v>8</v>
      </c>
      <c r="I13" s="13" t="n">
        <v>0.75</v>
      </c>
      <c r="J13" s="14">
        <f>20*(((B13-MIN(B$9:B$24))/(MAX(B$9:B$24)-MIN(B$9:B$24)+0.0001))*($A$6/100) + (1-MAX(C13-$M$5,0)/(MAX(C$9:C$24-$M$5)+0.0001))*($B$6/100) + ((D13-MIN(D$9:D$24))/(MAX(D$9:D$24)-MIN(D$9:D$24)+0.0001))*($C$6/100) + ((E13-MIN(E$9:E$24))/(MAX(E$9:E$24)-MIN(E$9:E$24)+0.0001))*($D$6/100) + ((F13-MIN(F$9:F$24))/(MAX(F$9:F$24)-MIN(F$9:F$24)+0.0001))*($E$6/100) + ((G13-MIN(G$9:G$24))/(MAX(G$9:G$24)-MIN(G$9:G$24)+0.0001))*($F$6/100) + ((H13/10-MIN(H$9:H$24/10))/(MAX(H$9:H$24/10)-MIN(H$9:H$24/10)+0.0001))*($G$6/100) + ((I13-MIN(I$9:I$24))/(MAX(I$9:I$24)-MIN(I$9:I$24)+0.0001))*($H$6/100))</f>
        <v/>
      </c>
      <c r="K13" s="15">
        <f>RANK(J13,J$9:J$24,0)</f>
        <v/>
      </c>
    </row>
    <row r="14">
      <c r="A14" s="12" t="inlineStr">
        <is>
          <t>Monaowarul</t>
        </is>
      </c>
      <c r="B14" s="13" t="n">
        <v>569.8</v>
      </c>
      <c r="C14" s="13" t="n">
        <v>83</v>
      </c>
      <c r="D14" s="13" t="n">
        <v>5.874226804123711</v>
      </c>
      <c r="E14" s="13" t="n">
        <v>6</v>
      </c>
      <c r="F14" s="13" t="n">
        <v>26</v>
      </c>
      <c r="G14" s="13" t="n">
        <v>57</v>
      </c>
      <c r="H14" s="13" t="n">
        <v>8.583</v>
      </c>
      <c r="I14" s="13" t="n">
        <v>0.88</v>
      </c>
      <c r="J14" s="14">
        <f>20*(((B14-MIN(B$9:B$24))/(MAX(B$9:B$24)-MIN(B$9:B$24)+0.0001))*($A$6/100) + (1-MAX(C14-$M$5,0)/(MAX(C$9:C$24-$M$5)+0.0001))*($B$6/100) + ((D14-MIN(D$9:D$24))/(MAX(D$9:D$24)-MIN(D$9:D$24)+0.0001))*($C$6/100) + ((E14-MIN(E$9:E$24))/(MAX(E$9:E$24)-MIN(E$9:E$24)+0.0001))*($D$6/100) + ((F14-MIN(F$9:F$24))/(MAX(F$9:F$24)-MIN(F$9:F$24)+0.0001))*($E$6/100) + ((G14-MIN(G$9:G$24))/(MAX(G$9:G$24)-MIN(G$9:G$24)+0.0001))*($F$6/100) + ((H14/10-MIN(H$9:H$24/10))/(MAX(H$9:H$24/10)-MIN(H$9:H$24/10)+0.0001))*($G$6/100) + ((I14-MIN(I$9:I$24))/(MAX(I$9:I$24)-MIN(I$9:I$24)+0.0001))*($H$6/100))</f>
        <v/>
      </c>
      <c r="K14" s="15">
        <f>RANK(J14,J$9:J$24,0)</f>
        <v/>
      </c>
    </row>
    <row r="15">
      <c r="A15" s="12" t="inlineStr">
        <is>
          <t>Shohel</t>
        </is>
      </c>
      <c r="B15" s="13" t="n">
        <v>620.5</v>
      </c>
      <c r="C15" s="13" t="n">
        <v>56</v>
      </c>
      <c r="D15" s="13" t="n">
        <v>5.466960352422907</v>
      </c>
      <c r="E15" s="13" t="n">
        <v>10</v>
      </c>
      <c r="F15" s="13" t="n">
        <v>26</v>
      </c>
      <c r="G15" s="13" t="n">
        <v>63</v>
      </c>
      <c r="H15" s="13" t="n">
        <v>8.048</v>
      </c>
      <c r="I15" s="13" t="n">
        <v>0.83</v>
      </c>
      <c r="J15" s="14">
        <f>20*(((B15-MIN(B$9:B$24))/(MAX(B$9:B$24)-MIN(B$9:B$24)+0.0001))*($A$6/100) + (1-MAX(C15-$M$5,0)/(MAX(C$9:C$24-$M$5)+0.0001))*($B$6/100) + ((D15-MIN(D$9:D$24))/(MAX(D$9:D$24)-MIN(D$9:D$24)+0.0001))*($C$6/100) + ((E15-MIN(E$9:E$24))/(MAX(E$9:E$24)-MIN(E$9:E$24)+0.0001))*($D$6/100) + ((F15-MIN(F$9:F$24))/(MAX(F$9:F$24)-MIN(F$9:F$24)+0.0001))*($E$6/100) + ((G15-MIN(G$9:G$24))/(MAX(G$9:G$24)-MIN(G$9:G$24)+0.0001))*($F$6/100) + ((H15/10-MIN(H$9:H$24/10))/(MAX(H$9:H$24/10)-MIN(H$9:H$24/10)+0.0001))*($G$6/100) + ((I15-MIN(I$9:I$24))/(MAX(I$9:I$24)-MIN(I$9:I$24)+0.0001))*($H$6/100))</f>
        <v/>
      </c>
      <c r="K15" s="15">
        <f>RANK(J15,J$9:J$24,0)</f>
        <v/>
      </c>
    </row>
    <row r="16">
      <c r="A16" s="12" t="inlineStr">
        <is>
          <t>Kanta</t>
        </is>
      </c>
      <c r="B16" s="13" t="n">
        <v>489</v>
      </c>
      <c r="C16" s="13" t="n">
        <v>59</v>
      </c>
      <c r="D16" s="13" t="n">
        <v>3.45583038869258</v>
      </c>
      <c r="E16" s="13" t="n">
        <v>7</v>
      </c>
      <c r="F16" s="13" t="n">
        <v>26</v>
      </c>
      <c r="G16" s="13" t="n">
        <v>57</v>
      </c>
      <c r="H16" s="13" t="n">
        <v>7.133</v>
      </c>
      <c r="I16" s="13" t="n">
        <v>0.79</v>
      </c>
      <c r="J16" s="14">
        <f>20*(((B16-MIN(B$9:B$24))/(MAX(B$9:B$24)-MIN(B$9:B$24)+0.0001))*($A$6/100) + (1-MAX(C16-$M$5,0)/(MAX(C$9:C$24-$M$5)+0.0001))*($B$6/100) + ((D16-MIN(D$9:D$24))/(MAX(D$9:D$24)-MIN(D$9:D$24)+0.0001))*($C$6/100) + ((E16-MIN(E$9:E$24))/(MAX(E$9:E$24)-MIN(E$9:E$24)+0.0001))*($D$6/100) + ((F16-MIN(F$9:F$24))/(MAX(F$9:F$24)-MIN(F$9:F$24)+0.0001))*($E$6/100) + ((G16-MIN(G$9:G$24))/(MAX(G$9:G$24)-MIN(G$9:G$24)+0.0001))*($F$6/100) + ((H16/10-MIN(H$9:H$24/10))/(MAX(H$9:H$24/10)-MIN(H$9:H$24/10)+0.0001))*($G$6/100) + ((I16-MIN(I$9:I$24))/(MAX(I$9:I$24)-MIN(I$9:I$24)+0.0001))*($H$6/100))</f>
        <v/>
      </c>
      <c r="K16" s="15">
        <f>RANK(J16,J$9:J$24,0)</f>
        <v/>
      </c>
    </row>
    <row r="17">
      <c r="A17" s="12" t="inlineStr">
        <is>
          <t>Rezaur</t>
        </is>
      </c>
      <c r="B17" s="13" t="n">
        <v>573</v>
      </c>
      <c r="C17" s="13" t="n">
        <v>33</v>
      </c>
      <c r="D17" s="13" t="n">
        <v>6.741176470588235</v>
      </c>
      <c r="E17" s="13" t="n">
        <v>8</v>
      </c>
      <c r="F17" s="13" t="n">
        <v>26</v>
      </c>
      <c r="G17" s="13" t="n">
        <v>57</v>
      </c>
      <c r="H17" s="13" t="n">
        <v>8.273</v>
      </c>
      <c r="I17" s="13" t="n">
        <v>0.86</v>
      </c>
      <c r="J17" s="14">
        <f>20*(((B17-MIN(B$9:B$24))/(MAX(B$9:B$24)-MIN(B$9:B$24)+0.0001))*($A$6/100) + (1-MAX(C17-$M$5,0)/(MAX(C$9:C$24-$M$5)+0.0001))*($B$6/100) + ((D17-MIN(D$9:D$24))/(MAX(D$9:D$24)-MIN(D$9:D$24)+0.0001))*($C$6/100) + ((E17-MIN(E$9:E$24))/(MAX(E$9:E$24)-MIN(E$9:E$24)+0.0001))*($D$6/100) + ((F17-MIN(F$9:F$24))/(MAX(F$9:F$24)-MIN(F$9:F$24)+0.0001))*($E$6/100) + ((G17-MIN(G$9:G$24))/(MAX(G$9:G$24)-MIN(G$9:G$24)+0.0001))*($F$6/100) + ((H17/10-MIN(H$9:H$24/10))/(MAX(H$9:H$24/10)-MIN(H$9:H$24/10)+0.0001))*($G$6/100) + ((I17-MIN(I$9:I$24))/(MAX(I$9:I$24)-MIN(I$9:I$24)+0.0001))*($H$6/100))</f>
        <v/>
      </c>
      <c r="K17" s="15">
        <f>RANK(J17,J$9:J$24,0)</f>
        <v/>
      </c>
    </row>
    <row r="18">
      <c r="A18" s="12" t="inlineStr">
        <is>
          <t>Sabikunnahar</t>
        </is>
      </c>
      <c r="B18" s="13" t="n">
        <v>455.5</v>
      </c>
      <c r="C18" s="13" t="n">
        <v>104</v>
      </c>
      <c r="D18" s="13" t="n">
        <v>3.361623616236162</v>
      </c>
      <c r="E18" s="13" t="n">
        <v>6</v>
      </c>
      <c r="F18" s="13" t="n">
        <v>28</v>
      </c>
      <c r="G18" s="13" t="n">
        <v>49</v>
      </c>
      <c r="H18" s="13" t="n">
        <v>7.679</v>
      </c>
      <c r="I18" s="13" t="n">
        <v>0.8100000000000001</v>
      </c>
      <c r="J18" s="14">
        <f>20*(((B18-MIN(B$9:B$24))/(MAX(B$9:B$24)-MIN(B$9:B$24)+0.0001))*($A$6/100) + (1-MAX(C18-$M$5,0)/(MAX(C$9:C$24-$M$5)+0.0001))*($B$6/100) + ((D18-MIN(D$9:D$24))/(MAX(D$9:D$24)-MIN(D$9:D$24)+0.0001))*($C$6/100) + ((E18-MIN(E$9:E$24))/(MAX(E$9:E$24)-MIN(E$9:E$24)+0.0001))*($D$6/100) + ((F18-MIN(F$9:F$24))/(MAX(F$9:F$24)-MIN(F$9:F$24)+0.0001))*($E$6/100) + ((G18-MIN(G$9:G$24))/(MAX(G$9:G$24)-MIN(G$9:G$24)+0.0001))*($F$6/100) + ((H18/10-MIN(H$9:H$24/10))/(MAX(H$9:H$24/10)-MIN(H$9:H$24/10)+0.0001))*($G$6/100) + ((I18-MIN(I$9:I$24))/(MAX(I$9:I$24)-MIN(I$9:I$24)+0.0001))*($H$6/100))</f>
        <v/>
      </c>
      <c r="K18" s="15">
        <f>RANK(J18,J$9:J$24,0)</f>
        <v/>
      </c>
    </row>
    <row r="19">
      <c r="A19" s="12" t="inlineStr">
        <is>
          <t>Shanta</t>
        </is>
      </c>
      <c r="B19" s="13" t="n">
        <v>534</v>
      </c>
      <c r="C19" s="13" t="n">
        <v>104</v>
      </c>
      <c r="D19" s="13" t="n">
        <v>5.505154639175258</v>
      </c>
      <c r="E19" s="13" t="n">
        <v>8</v>
      </c>
      <c r="F19" s="13" t="n">
        <v>28</v>
      </c>
      <c r="G19" s="13" t="n">
        <v>50</v>
      </c>
      <c r="H19" s="13" t="n">
        <v>7.15</v>
      </c>
      <c r="I19" s="13" t="n">
        <v>0.77</v>
      </c>
      <c r="J19" s="14">
        <f>20*(((B19-MIN(B$9:B$24))/(MAX(B$9:B$24)-MIN(B$9:B$24)+0.0001))*($A$6/100) + (1-MAX(C19-$M$5,0)/(MAX(C$9:C$24-$M$5)+0.0001))*($B$6/100) + ((D19-MIN(D$9:D$24))/(MAX(D$9:D$24)-MIN(D$9:D$24)+0.0001))*($C$6/100) + ((E19-MIN(E$9:E$24))/(MAX(E$9:E$24)-MIN(E$9:E$24)+0.0001))*($D$6/100) + ((F19-MIN(F$9:F$24))/(MAX(F$9:F$24)-MIN(F$9:F$24)+0.0001))*($E$6/100) + ((G19-MIN(G$9:G$24))/(MAX(G$9:G$24)-MIN(G$9:G$24)+0.0001))*($F$6/100) + ((H19/10-MIN(H$9:H$24/10))/(MAX(H$9:H$24/10)-MIN(H$9:H$24/10)+0.0001))*($G$6/100) + ((I19-MIN(I$9:I$24))/(MAX(I$9:I$24)-MIN(I$9:I$24)+0.0001))*($H$6/100))</f>
        <v/>
      </c>
      <c r="K19" s="15">
        <f>RANK(J19,J$9:J$24,0)</f>
        <v/>
      </c>
    </row>
    <row r="20">
      <c r="A20" s="12" t="inlineStr">
        <is>
          <t>Saeid</t>
        </is>
      </c>
      <c r="B20" s="13" t="n">
        <v>550.5</v>
      </c>
      <c r="C20" s="13" t="n">
        <v>128</v>
      </c>
      <c r="D20" s="13" t="n">
        <v>4.530864197530864</v>
      </c>
      <c r="E20" s="13" t="n">
        <v>10</v>
      </c>
      <c r="F20" s="13" t="n">
        <v>33</v>
      </c>
      <c r="G20" s="13" t="n">
        <v>130</v>
      </c>
      <c r="H20" s="13" t="n">
        <v>7.353</v>
      </c>
      <c r="I20" s="13" t="n">
        <v>0.84</v>
      </c>
      <c r="J20" s="14">
        <f>20*(((B20-MIN(B$9:B$24))/(MAX(B$9:B$24)-MIN(B$9:B$24)+0.0001))*($A$6/100) + (1-MAX(C20-$M$5,0)/(MAX(C$9:C$24-$M$5)+0.0001))*($B$6/100) + ((D20-MIN(D$9:D$24))/(MAX(D$9:D$24)-MIN(D$9:D$24)+0.0001))*($C$6/100) + ((E20-MIN(E$9:E$24))/(MAX(E$9:E$24)-MIN(E$9:E$24)+0.0001))*($D$6/100) + ((F20-MIN(F$9:F$24))/(MAX(F$9:F$24)-MIN(F$9:F$24)+0.0001))*($E$6/100) + ((G20-MIN(G$9:G$24))/(MAX(G$9:G$24)-MIN(G$9:G$24)+0.0001))*($F$6/100) + ((H20/10-MIN(H$9:H$24/10))/(MAX(H$9:H$24/10)-MIN(H$9:H$24/10)+0.0001))*($G$6/100) + ((I20-MIN(I$9:I$24))/(MAX(I$9:I$24)-MIN(I$9:I$24)+0.0001))*($H$6/100))</f>
        <v/>
      </c>
      <c r="K20" s="15">
        <f>RANK(J20,J$9:J$24,0)</f>
        <v/>
      </c>
    </row>
    <row r="21">
      <c r="A21" s="12" t="inlineStr">
        <is>
          <t>Nahid</t>
        </is>
      </c>
      <c r="B21" s="13" t="n">
        <v>608.5</v>
      </c>
      <c r="C21" s="13" t="n">
        <v>61.5</v>
      </c>
      <c r="D21" s="13" t="n">
        <v>7.287425149700598</v>
      </c>
      <c r="E21" s="13" t="n">
        <v>10</v>
      </c>
      <c r="F21" s="13" t="n">
        <v>27</v>
      </c>
      <c r="G21" s="13" t="n">
        <v>141</v>
      </c>
      <c r="H21" s="13" t="n">
        <v>8.412000000000001</v>
      </c>
      <c r="I21" s="13" t="n">
        <v>0.89</v>
      </c>
      <c r="J21" s="14">
        <f>20*(((B21-MIN(B$9:B$24))/(MAX(B$9:B$24)-MIN(B$9:B$24)+0.0001))*($A$6/100) + (1-MAX(C21-$M$5,0)/(MAX(C$9:C$24-$M$5)+0.0001))*($B$6/100) + ((D21-MIN(D$9:D$24))/(MAX(D$9:D$24)-MIN(D$9:D$24)+0.0001))*($C$6/100) + ((E21-MIN(E$9:E$24))/(MAX(E$9:E$24)-MIN(E$9:E$24)+0.0001))*($D$6/100) + ((F21-MIN(F$9:F$24))/(MAX(F$9:F$24)-MIN(F$9:F$24)+0.0001))*($E$6/100) + ((G21-MIN(G$9:G$24))/(MAX(G$9:G$24)-MIN(G$9:G$24)+0.0001))*($F$6/100) + ((H21/10-MIN(H$9:H$24/10))/(MAX(H$9:H$24/10)-MIN(H$9:H$24/10)+0.0001))*($G$6/100) + ((I21-MIN(I$9:I$24))/(MAX(I$9:I$24)-MIN(I$9:I$24)+0.0001))*($H$6/100))</f>
        <v/>
      </c>
      <c r="K21" s="15">
        <f>RANK(J21,J$9:J$24,0)</f>
        <v/>
      </c>
    </row>
    <row r="22">
      <c r="A22" s="12" t="inlineStr">
        <is>
          <t>Masum</t>
        </is>
      </c>
      <c r="B22" s="13" t="n">
        <v>399</v>
      </c>
      <c r="C22" s="13" t="n">
        <v>24</v>
      </c>
      <c r="D22" s="13" t="n">
        <v>5.867647058823529</v>
      </c>
      <c r="E22" s="13" t="n">
        <v>6</v>
      </c>
      <c r="F22" s="13" t="n">
        <v>28</v>
      </c>
      <c r="G22" s="13" t="n">
        <v>55</v>
      </c>
      <c r="H22" s="13" t="n">
        <v>7.45</v>
      </c>
      <c r="I22" s="13" t="n">
        <v>0.8</v>
      </c>
      <c r="J22" s="14">
        <f>20*(((B22-MIN(B$9:B$24))/(MAX(B$9:B$24)-MIN(B$9:B$24)+0.0001))*($A$6/100) + (1-MAX(C22-$M$5,0)/(MAX(C$9:C$24-$M$5)+0.0001))*($B$6/100) + ((D22-MIN(D$9:D$24))/(MAX(D$9:D$24)-MIN(D$9:D$24)+0.0001))*($C$6/100) + ((E22-MIN(E$9:E$24))/(MAX(E$9:E$24)-MIN(E$9:E$24)+0.0001))*($D$6/100) + ((F22-MIN(F$9:F$24))/(MAX(F$9:F$24)-MIN(F$9:F$24)+0.0001))*($E$6/100) + ((G22-MIN(G$9:G$24))/(MAX(G$9:G$24)-MIN(G$9:G$24)+0.0001))*($F$6/100) + ((H22/10-MIN(H$9:H$24/10))/(MAX(H$9:H$24/10)-MIN(H$9:H$24/10)+0.0001))*($G$6/100) + ((I22-MIN(I$9:I$24))/(MAX(I$9:I$24)-MIN(I$9:I$24)+0.0001))*($H$6/100))</f>
        <v/>
      </c>
      <c r="K22" s="15">
        <f>RANK(J22,J$9:J$24,0)</f>
        <v/>
      </c>
    </row>
    <row r="23">
      <c r="A23" s="12" t="inlineStr">
        <is>
          <t>Rony</t>
        </is>
      </c>
      <c r="B23" s="13" t="n">
        <v>486.5</v>
      </c>
      <c r="C23" s="13" t="n">
        <v>42.5</v>
      </c>
      <c r="D23" s="13" t="n">
        <v>4.140425531914894</v>
      </c>
      <c r="E23" s="13" t="n">
        <v>6</v>
      </c>
      <c r="F23" s="13" t="n">
        <v>21</v>
      </c>
      <c r="G23" s="13" t="n">
        <v>58</v>
      </c>
      <c r="H23" s="13" t="n">
        <v>7.864</v>
      </c>
      <c r="I23" s="13" t="n">
        <v>0.87</v>
      </c>
      <c r="J23" s="14">
        <f>20*(((B23-MIN(B$9:B$24))/(MAX(B$9:B$24)-MIN(B$9:B$24)+0.0001))*($A$6/100) + (1-MAX(C23-$M$5,0)/(MAX(C$9:C$24-$M$5)+0.0001))*($B$6/100) + ((D23-MIN(D$9:D$24))/(MAX(D$9:D$24)-MIN(D$9:D$24)+0.0001))*($C$6/100) + ((E23-MIN(E$9:E$24))/(MAX(E$9:E$24)-MIN(E$9:E$24)+0.0001))*($D$6/100) + ((F23-MIN(F$9:F$24))/(MAX(F$9:F$24)-MIN(F$9:F$24)+0.0001))*($E$6/100) + ((G23-MIN(G$9:G$24))/(MAX(G$9:G$24)-MIN(G$9:G$24)+0.0001))*($F$6/100) + ((H23/10-MIN(H$9:H$24/10))/(MAX(H$9:H$24/10)-MIN(H$9:H$24/10)+0.0001))*($G$6/100) + ((I23-MIN(I$9:I$24))/(MAX(I$9:I$24)-MIN(I$9:I$24)+0.0001))*($H$6/100))</f>
        <v/>
      </c>
      <c r="K23" s="15">
        <f>RANK(J23,J$9:J$24,0)</f>
        <v/>
      </c>
    </row>
    <row r="24">
      <c r="A24" s="12" t="inlineStr">
        <is>
          <t>Basir</t>
        </is>
      </c>
      <c r="B24" s="13" t="n">
        <v>541.5</v>
      </c>
      <c r="C24" s="13" t="n">
        <v>72</v>
      </c>
      <c r="D24" s="13" t="n">
        <v>4.056179775280899</v>
      </c>
      <c r="E24" s="13" t="n">
        <v>6</v>
      </c>
      <c r="F24" s="13" t="n">
        <v>29</v>
      </c>
      <c r="G24" s="13" t="n">
        <v>66</v>
      </c>
      <c r="H24" s="13" t="n">
        <v>8.68</v>
      </c>
      <c r="I24" s="13" t="n">
        <v>0.91</v>
      </c>
      <c r="J24" s="14">
        <f>20*(((B24-MIN(B$9:B$24))/(MAX(B$9:B$24)-MIN(B$9:B$24)+0.0001))*($A$6/100) + (1-MAX(C24-$M$5,0)/(MAX(C$9:C$24-$M$5)+0.0001))*($B$6/100) + ((D24-MIN(D$9:D$24))/(MAX(D$9:D$24)-MIN(D$9:D$24)+0.0001))*($C$6/100) + ((E24-MIN(E$9:E$24))/(MAX(E$9:E$24)-MIN(E$9:E$24)+0.0001))*($D$6/100) + ((F24-MIN(F$9:F$24))/(MAX(F$9:F$24)-MIN(F$9:F$24)+0.0001))*($E$6/100) + ((G24-MIN(G$9:G$24))/(MAX(G$9:G$24)-MIN(G$9:G$24)+0.0001))*($F$6/100) + ((H24/10-MIN(H$9:H$24/10))/(MAX(H$9:H$24/10)-MIN(H$9:H$24/10)+0.0001))*($G$6/100) + ((I24-MIN(I$9:I$24))/(MAX(I$9:I$24)-MIN(I$9:I$24)+0.0001))*($H$6/100))</f>
        <v/>
      </c>
      <c r="K24" s="15">
        <f>RANK(J24,J$9:J$24,0)</f>
        <v/>
      </c>
    </row>
  </sheetData>
  <mergeCells count="3">
    <mergeCell ref="A4:N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2025-12-07T12:00:49Z</dcterms:created>
  <dcterms:modified xsi:type="dcterms:W3CDTF">2025-12-07T12:00:49Z</dcterms:modified>
</cp:coreProperties>
</file>